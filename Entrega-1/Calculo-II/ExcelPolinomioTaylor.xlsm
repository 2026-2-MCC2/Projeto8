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26028815\Documents\GitHub\Projeto8\Entrega-1\Calculo-II\"/>
    </mc:Choice>
  </mc:AlternateContent>
  <xr:revisionPtr revIDLastSave="0" documentId="13_ncr:1_{AE6368A9-2F0A-4F53-A2E3-244CD72D8CF4}" xr6:coauthVersionLast="36" xr6:coauthVersionMax="36" xr10:uidLastSave="{00000000-0000-0000-0000-000000000000}"/>
  <bookViews>
    <workbookView xWindow="0" yWindow="0" windowWidth="20490" windowHeight="7425" activeTab="1" xr2:uid="{6B3CBB01-3FF8-4DA4-854A-AD9960C9D52B}"/>
  </bookViews>
  <sheets>
    <sheet name="Planilha1" sheetId="1" r:id="rId1"/>
    <sheet name="Planilha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4" i="1" l="1"/>
  <c r="F15" i="1"/>
  <c r="F16" i="1"/>
  <c r="F17" i="1"/>
  <c r="F18" i="1"/>
  <c r="F19" i="1"/>
  <c r="F20" i="1"/>
  <c r="F5" i="1"/>
  <c r="F6" i="1"/>
  <c r="F7" i="1"/>
  <c r="F8" i="1"/>
  <c r="F9" i="1"/>
  <c r="F10" i="1"/>
  <c r="F11" i="1"/>
  <c r="F12" i="1"/>
  <c r="F13" i="1"/>
  <c r="F4" i="1"/>
  <c r="E6" i="1"/>
  <c r="E7" i="1"/>
  <c r="E8" i="1"/>
  <c r="E5" i="1"/>
  <c r="E9" i="1"/>
  <c r="E10" i="1"/>
  <c r="E11" i="1"/>
  <c r="E12" i="1"/>
  <c r="E13" i="1"/>
  <c r="E14" i="1"/>
  <c r="E15" i="1"/>
  <c r="E16" i="1"/>
  <c r="E17" i="1"/>
  <c r="E18" i="1"/>
  <c r="E19" i="1"/>
  <c r="E20" i="1"/>
  <c r="E4" i="1"/>
  <c r="D5" i="1"/>
  <c r="D6" i="1"/>
  <c r="D13" i="1"/>
  <c r="D14" i="1"/>
  <c r="D16" i="1"/>
  <c r="D18" i="1"/>
  <c r="D20" i="1"/>
  <c r="D7" i="1"/>
  <c r="D8" i="1"/>
  <c r="D9" i="1"/>
  <c r="D10" i="1"/>
  <c r="D11" i="1"/>
  <c r="D12" i="1"/>
  <c r="D15" i="1"/>
  <c r="D17" i="1"/>
  <c r="D19" i="1"/>
  <c r="D4" i="1"/>
</calcChain>
</file>

<file path=xl/sharedStrings.xml><?xml version="1.0" encoding="utf-8"?>
<sst xmlns="http://schemas.openxmlformats.org/spreadsheetml/2006/main" count="8" uniqueCount="8">
  <si>
    <t>funcao</t>
  </si>
  <si>
    <t>ponto de expansao</t>
  </si>
  <si>
    <t>resultado</t>
  </si>
  <si>
    <t>Polinomio de Taylor 3 grau</t>
  </si>
  <si>
    <t>X</t>
  </si>
  <si>
    <t>resultado aprox</t>
  </si>
  <si>
    <t>resultado real</t>
  </si>
  <si>
    <t>x³+2x²-2x-3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</si>
</sst>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43" fontId="0" fillId="0" borderId="1" xfId="1" applyFont="1" applyBorder="1" applyAlignment="1">
      <alignment horizontal="center" vertical="center"/>
    </xf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Planilha1!$E$3</c:f>
              <c:strCache>
                <c:ptCount val="1"/>
                <c:pt idx="0">
                  <c:v>resultado aprox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Planilha1!$E$4:$E$20</c:f>
              <c:numCache>
                <c:formatCode>_(* #,##0.00_);_(* \(#,##0.00\);_(* "-"??_);_(@_)</c:formatCode>
                <c:ptCount val="17"/>
                <c:pt idx="0">
                  <c:v>-3</c:v>
                </c:pt>
                <c:pt idx="1">
                  <c:v>-2</c:v>
                </c:pt>
                <c:pt idx="2">
                  <c:v>1</c:v>
                </c:pt>
                <c:pt idx="3">
                  <c:v>36</c:v>
                </c:pt>
                <c:pt idx="4">
                  <c:v>-27</c:v>
                </c:pt>
                <c:pt idx="5">
                  <c:v>162</c:v>
                </c:pt>
                <c:pt idx="6">
                  <c:v>-135</c:v>
                </c:pt>
                <c:pt idx="7">
                  <c:v>424</c:v>
                </c:pt>
                <c:pt idx="8">
                  <c:v>-371</c:v>
                </c:pt>
                <c:pt idx="9">
                  <c:v>870</c:v>
                </c:pt>
                <c:pt idx="10">
                  <c:v>-783</c:v>
                </c:pt>
                <c:pt idx="11">
                  <c:v>1548</c:v>
                </c:pt>
                <c:pt idx="12">
                  <c:v>-1419</c:v>
                </c:pt>
                <c:pt idx="13">
                  <c:v>2506</c:v>
                </c:pt>
                <c:pt idx="14">
                  <c:v>-2327</c:v>
                </c:pt>
                <c:pt idx="15">
                  <c:v>3792</c:v>
                </c:pt>
                <c:pt idx="16">
                  <c:v>-3555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1C-42DF-AB0A-3C11192A4C91}"/>
            </c:ext>
          </c:extLst>
        </c:ser>
        <c:ser>
          <c:idx val="1"/>
          <c:order val="1"/>
          <c:tx>
            <c:strRef>
              <c:f>Planilha1!$F$3</c:f>
              <c:strCache>
                <c:ptCount val="1"/>
                <c:pt idx="0">
                  <c:v>resultado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Planilha1!$F$4:$F$20</c:f>
              <c:numCache>
                <c:formatCode>_(* #,##0.00_);_(* \(#,##0.00\);_(* "-"??_);_(@_)</c:formatCode>
                <c:ptCount val="17"/>
                <c:pt idx="0">
                  <c:v>-3</c:v>
                </c:pt>
                <c:pt idx="1">
                  <c:v>-2</c:v>
                </c:pt>
                <c:pt idx="2">
                  <c:v>1</c:v>
                </c:pt>
                <c:pt idx="3">
                  <c:v>36</c:v>
                </c:pt>
                <c:pt idx="4">
                  <c:v>-27</c:v>
                </c:pt>
                <c:pt idx="5">
                  <c:v>162</c:v>
                </c:pt>
                <c:pt idx="6">
                  <c:v>-135</c:v>
                </c:pt>
                <c:pt idx="7">
                  <c:v>424</c:v>
                </c:pt>
                <c:pt idx="8">
                  <c:v>-371</c:v>
                </c:pt>
                <c:pt idx="9">
                  <c:v>870</c:v>
                </c:pt>
                <c:pt idx="10">
                  <c:v>-783</c:v>
                </c:pt>
                <c:pt idx="11">
                  <c:v>1548</c:v>
                </c:pt>
                <c:pt idx="12">
                  <c:v>-1419</c:v>
                </c:pt>
                <c:pt idx="13">
                  <c:v>2506</c:v>
                </c:pt>
                <c:pt idx="14">
                  <c:v>-2327</c:v>
                </c:pt>
                <c:pt idx="15">
                  <c:v>3792</c:v>
                </c:pt>
                <c:pt idx="16">
                  <c:v>-3555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1C-42DF-AB0A-3C11192A4C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30266975"/>
        <c:axId val="1522569295"/>
      </c:barChart>
      <c:catAx>
        <c:axId val="1430266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2569295"/>
        <c:crosses val="autoZero"/>
        <c:auto val="1"/>
        <c:lblAlgn val="ctr"/>
        <c:lblOffset val="100"/>
        <c:noMultiLvlLbl val="0"/>
      </c:catAx>
      <c:valAx>
        <c:axId val="15225692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0266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552449</xdr:colOff>
      <xdr:row>2</xdr:row>
      <xdr:rowOff>66675</xdr:rowOff>
    </xdr:from>
    <xdr:to>
      <xdr:col>12</xdr:col>
      <xdr:colOff>485774</xdr:colOff>
      <xdr:row>17</xdr:row>
      <xdr:rowOff>142875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BCCC210-2BCA-44BC-9FAD-9E8997D6F6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1CDE1-94CE-42F2-8FA2-A99F17687F29}">
  <sheetPr codeName="Planilha1"/>
  <dimension ref="A1:F20"/>
  <sheetViews>
    <sheetView workbookViewId="0">
      <selection activeCell="C21" sqref="C21"/>
    </sheetView>
  </sheetViews>
  <sheetFormatPr defaultRowHeight="15" x14ac:dyDescent="0.25"/>
  <cols>
    <col min="1" max="1" width="25.7109375" bestFit="1" customWidth="1"/>
    <col min="2" max="2" width="18.140625" bestFit="1" customWidth="1"/>
    <col min="3" max="3" width="30.42578125" bestFit="1" customWidth="1"/>
    <col min="4" max="4" width="38" bestFit="1" customWidth="1"/>
    <col min="5" max="5" width="15" bestFit="1" customWidth="1"/>
    <col min="6" max="6" width="13.42578125" bestFit="1" customWidth="1"/>
  </cols>
  <sheetData>
    <row r="1" spans="1:6" x14ac:dyDescent="0.25">
      <c r="A1" s="2" t="s">
        <v>3</v>
      </c>
      <c r="B1" s="2"/>
      <c r="C1" s="2"/>
      <c r="D1" s="2"/>
      <c r="E1" s="2"/>
      <c r="F1" s="2"/>
    </row>
    <row r="2" spans="1:6" x14ac:dyDescent="0.25">
      <c r="A2" s="2"/>
      <c r="B2" s="2"/>
      <c r="C2" s="2"/>
      <c r="D2" s="2"/>
      <c r="E2" s="2"/>
      <c r="F2" s="2"/>
    </row>
    <row r="3" spans="1:6" x14ac:dyDescent="0.25">
      <c r="A3" s="1" t="s">
        <v>0</v>
      </c>
      <c r="B3" s="1" t="s">
        <v>1</v>
      </c>
      <c r="C3" s="1" t="s">
        <v>4</v>
      </c>
      <c r="D3" s="1" t="s">
        <v>2</v>
      </c>
      <c r="E3" s="3" t="s">
        <v>5</v>
      </c>
      <c r="F3" s="3" t="s">
        <v>6</v>
      </c>
    </row>
    <row r="4" spans="1:6" x14ac:dyDescent="0.25">
      <c r="A4" s="1" t="s">
        <v>7</v>
      </c>
      <c r="B4" s="1">
        <v>0</v>
      </c>
      <c r="C4" s="1">
        <v>0</v>
      </c>
      <c r="D4" s="1" t="str">
        <f>Taylor3($A$4,$B$4)</f>
        <v>-3 + -2(x-0) + 2(x-0)^2 + 1(x-0)^3</v>
      </c>
      <c r="E4" s="4">
        <f>TaylorValor($A$4,$B$4,C4)</f>
        <v>-3</v>
      </c>
      <c r="F4" s="4">
        <f>Polinomio3($A$4,C4)</f>
        <v>-3</v>
      </c>
    </row>
    <row r="5" spans="1:6" x14ac:dyDescent="0.25">
      <c r="A5" s="2"/>
      <c r="B5" s="2"/>
      <c r="C5" s="1">
        <v>1</v>
      </c>
      <c r="D5" s="1" t="str">
        <f t="shared" ref="D5:D20" si="0">Taylor3($A$4,$B$4)</f>
        <v>-3 + -2(x-0) + 2(x-0)^2 + 1(x-0)^3</v>
      </c>
      <c r="E5" s="4">
        <f t="shared" ref="E5:E20" si="1">TaylorValor($A$4,$B$4,C5)</f>
        <v>-2</v>
      </c>
      <c r="F5" s="4">
        <f t="shared" ref="F5:F20" si="2">Polinomio3($A$4,C5)</f>
        <v>-2</v>
      </c>
    </row>
    <row r="6" spans="1:6" x14ac:dyDescent="0.25">
      <c r="A6" s="2"/>
      <c r="B6" s="2"/>
      <c r="C6" s="1">
        <v>-2</v>
      </c>
      <c r="D6" s="1" t="str">
        <f t="shared" si="0"/>
        <v>-3 + -2(x-0) + 2(x-0)^2 + 1(x-0)^3</v>
      </c>
      <c r="E6" s="4">
        <f t="shared" si="1"/>
        <v>1</v>
      </c>
      <c r="F6" s="4">
        <f t="shared" si="2"/>
        <v>1</v>
      </c>
    </row>
    <row r="7" spans="1:6" x14ac:dyDescent="0.25">
      <c r="A7" s="2"/>
      <c r="B7" s="2"/>
      <c r="C7" s="1">
        <v>3</v>
      </c>
      <c r="D7" s="1" t="str">
        <f t="shared" si="0"/>
        <v>-3 + -2(x-0) + 2(x-0)^2 + 1(x-0)^3</v>
      </c>
      <c r="E7" s="4">
        <f t="shared" si="1"/>
        <v>36</v>
      </c>
      <c r="F7" s="4">
        <f t="shared" si="2"/>
        <v>36</v>
      </c>
    </row>
    <row r="8" spans="1:6" x14ac:dyDescent="0.25">
      <c r="A8" s="2"/>
      <c r="B8" s="2"/>
      <c r="C8" s="1">
        <v>-4</v>
      </c>
      <c r="D8" s="1" t="str">
        <f t="shared" si="0"/>
        <v>-3 + -2(x-0) + 2(x-0)^2 + 1(x-0)^3</v>
      </c>
      <c r="E8" s="4">
        <f t="shared" si="1"/>
        <v>-27</v>
      </c>
      <c r="F8" s="4">
        <f t="shared" si="2"/>
        <v>-27</v>
      </c>
    </row>
    <row r="9" spans="1:6" x14ac:dyDescent="0.25">
      <c r="A9" s="2"/>
      <c r="B9" s="2"/>
      <c r="C9" s="1">
        <v>5</v>
      </c>
      <c r="D9" s="1" t="str">
        <f t="shared" si="0"/>
        <v>-3 + -2(x-0) + 2(x-0)^2 + 1(x-0)^3</v>
      </c>
      <c r="E9" s="4">
        <f t="shared" si="1"/>
        <v>162</v>
      </c>
      <c r="F9" s="4">
        <f t="shared" si="2"/>
        <v>162</v>
      </c>
    </row>
    <row r="10" spans="1:6" x14ac:dyDescent="0.25">
      <c r="A10" s="2"/>
      <c r="B10" s="2"/>
      <c r="C10" s="1">
        <v>-6</v>
      </c>
      <c r="D10" s="1" t="str">
        <f t="shared" si="0"/>
        <v>-3 + -2(x-0) + 2(x-0)^2 + 1(x-0)^3</v>
      </c>
      <c r="E10" s="4">
        <f t="shared" si="1"/>
        <v>-135</v>
      </c>
      <c r="F10" s="4">
        <f t="shared" si="2"/>
        <v>-135</v>
      </c>
    </row>
    <row r="11" spans="1:6" x14ac:dyDescent="0.25">
      <c r="A11" s="2"/>
      <c r="B11" s="2"/>
      <c r="C11" s="1">
        <v>7</v>
      </c>
      <c r="D11" s="1" t="str">
        <f t="shared" si="0"/>
        <v>-3 + -2(x-0) + 2(x-0)^2 + 1(x-0)^3</v>
      </c>
      <c r="E11" s="4">
        <f t="shared" si="1"/>
        <v>424</v>
      </c>
      <c r="F11" s="4">
        <f t="shared" si="2"/>
        <v>424</v>
      </c>
    </row>
    <row r="12" spans="1:6" x14ac:dyDescent="0.25">
      <c r="A12" s="2"/>
      <c r="B12" s="2"/>
      <c r="C12" s="1">
        <v>-8</v>
      </c>
      <c r="D12" s="1" t="str">
        <f t="shared" si="0"/>
        <v>-3 + -2(x-0) + 2(x-0)^2 + 1(x-0)^3</v>
      </c>
      <c r="E12" s="4">
        <f t="shared" si="1"/>
        <v>-371</v>
      </c>
      <c r="F12" s="4">
        <f t="shared" si="2"/>
        <v>-371</v>
      </c>
    </row>
    <row r="13" spans="1:6" x14ac:dyDescent="0.25">
      <c r="A13" s="2"/>
      <c r="B13" s="2"/>
      <c r="C13" s="1">
        <v>9</v>
      </c>
      <c r="D13" s="1" t="str">
        <f t="shared" si="0"/>
        <v>-3 + -2(x-0) + 2(x-0)^2 + 1(x-0)^3</v>
      </c>
      <c r="E13" s="4">
        <f t="shared" si="1"/>
        <v>870</v>
      </c>
      <c r="F13" s="4">
        <f t="shared" si="2"/>
        <v>870</v>
      </c>
    </row>
    <row r="14" spans="1:6" x14ac:dyDescent="0.25">
      <c r="A14" s="2"/>
      <c r="B14" s="2"/>
      <c r="C14" s="1">
        <v>-10</v>
      </c>
      <c r="D14" s="1" t="str">
        <f t="shared" si="0"/>
        <v>-3 + -2(x-0) + 2(x-0)^2 + 1(x-0)^3</v>
      </c>
      <c r="E14" s="4">
        <f t="shared" si="1"/>
        <v>-783</v>
      </c>
      <c r="F14" s="4">
        <f t="shared" si="2"/>
        <v>-783</v>
      </c>
    </row>
    <row r="15" spans="1:6" x14ac:dyDescent="0.25">
      <c r="A15" s="2"/>
      <c r="B15" s="2"/>
      <c r="C15" s="1">
        <v>11</v>
      </c>
      <c r="D15" s="1" t="str">
        <f t="shared" si="0"/>
        <v>-3 + -2(x-0) + 2(x-0)^2 + 1(x-0)^3</v>
      </c>
      <c r="E15" s="4">
        <f t="shared" si="1"/>
        <v>1548</v>
      </c>
      <c r="F15" s="4">
        <f t="shared" si="2"/>
        <v>1548</v>
      </c>
    </row>
    <row r="16" spans="1:6" x14ac:dyDescent="0.25">
      <c r="A16" s="2"/>
      <c r="B16" s="2"/>
      <c r="C16" s="1">
        <v>-12</v>
      </c>
      <c r="D16" s="1" t="str">
        <f t="shared" si="0"/>
        <v>-3 + -2(x-0) + 2(x-0)^2 + 1(x-0)^3</v>
      </c>
      <c r="E16" s="4">
        <f t="shared" si="1"/>
        <v>-1419</v>
      </c>
      <c r="F16" s="4">
        <f t="shared" si="2"/>
        <v>-1419</v>
      </c>
    </row>
    <row r="17" spans="1:6" x14ac:dyDescent="0.25">
      <c r="A17" s="2"/>
      <c r="B17" s="2"/>
      <c r="C17" s="1">
        <v>13</v>
      </c>
      <c r="D17" s="1" t="str">
        <f t="shared" si="0"/>
        <v>-3 + -2(x-0) + 2(x-0)^2 + 1(x-0)^3</v>
      </c>
      <c r="E17" s="4">
        <f t="shared" si="1"/>
        <v>2506</v>
      </c>
      <c r="F17" s="4">
        <f t="shared" si="2"/>
        <v>2506</v>
      </c>
    </row>
    <row r="18" spans="1:6" x14ac:dyDescent="0.25">
      <c r="A18" s="2"/>
      <c r="B18" s="2"/>
      <c r="C18" s="1">
        <v>-14</v>
      </c>
      <c r="D18" s="1" t="str">
        <f t="shared" si="0"/>
        <v>-3 + -2(x-0) + 2(x-0)^2 + 1(x-0)^3</v>
      </c>
      <c r="E18" s="4">
        <f t="shared" si="1"/>
        <v>-2327</v>
      </c>
      <c r="F18" s="4">
        <f t="shared" si="2"/>
        <v>-2327</v>
      </c>
    </row>
    <row r="19" spans="1:6" x14ac:dyDescent="0.25">
      <c r="A19" s="2"/>
      <c r="B19" s="2"/>
      <c r="C19" s="1">
        <v>15</v>
      </c>
      <c r="D19" s="1" t="str">
        <f t="shared" si="0"/>
        <v>-3 + -2(x-0) + 2(x-0)^2 + 1(x-0)^3</v>
      </c>
      <c r="E19" s="4">
        <f t="shared" si="1"/>
        <v>3792</v>
      </c>
      <c r="F19" s="4">
        <f t="shared" si="2"/>
        <v>3792</v>
      </c>
    </row>
    <row r="20" spans="1:6" x14ac:dyDescent="0.25">
      <c r="A20" s="2"/>
      <c r="B20" s="2"/>
      <c r="C20" s="1">
        <v>-16</v>
      </c>
      <c r="D20" s="1" t="str">
        <f t="shared" si="0"/>
        <v>-3 + -2(x-0) + 2(x-0)^2 + 1(x-0)^3</v>
      </c>
      <c r="E20" s="4">
        <f t="shared" si="1"/>
        <v>-3555</v>
      </c>
      <c r="F20" s="4">
        <f t="shared" si="2"/>
        <v>-3555</v>
      </c>
    </row>
  </sheetData>
  <mergeCells count="2">
    <mergeCell ref="A1:F2"/>
    <mergeCell ref="A5:B20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C4C02-5953-4793-94F7-C07224721AEC}">
  <sheetPr codeName="Planilha2"/>
  <dimension ref="A1"/>
  <sheetViews>
    <sheetView tabSelected="1" workbookViewId="0">
      <selection activeCell="M18" sqref="M18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Planilha1</vt:lpstr>
      <vt:lpstr>Planilha2</vt:lpstr>
    </vt:vector>
  </TitlesOfParts>
  <Company>FECAP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 Tocantins Quaglia</dc:creator>
  <cp:lastModifiedBy>Max Tocantins Quaglia</cp:lastModifiedBy>
  <dcterms:created xsi:type="dcterms:W3CDTF">2026-09-15T11:44:40Z</dcterms:created>
  <dcterms:modified xsi:type="dcterms:W3CDTF">2026-09-16T13:21:35Z</dcterms:modified>
</cp:coreProperties>
</file>